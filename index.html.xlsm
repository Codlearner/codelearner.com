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\Desktop\"/>
    </mc:Choice>
  </mc:AlternateContent>
  <bookViews>
    <workbookView xWindow="0" yWindow="0" windowWidth="15360" windowHeight="8445"/>
  </bookViews>
  <sheets>
    <sheet name="Form" sheetId="4" r:id="rId1"/>
    <sheet name="DataBase" sheetId="5" r:id="rId2"/>
  </sheets>
  <functionGroups builtInGroupCount="18"/>
  <definedNames>
    <definedName name="_xlnm._FilterDatabase" localSheetId="1" hidden="1">DataBase!$B$1:$B$1003</definedName>
    <definedName name="hlo" localSheetId="1">Form!#REF!</definedName>
    <definedName name="m">Form!#REF!</definedName>
    <definedName name="Total_Person_IN_Hotel" localSheetId="1">Form!$D$15:$G$15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4" l="1"/>
  <c r="X1" i="4"/>
  <c r="W1" i="4"/>
  <c r="H11" i="4" l="1"/>
  <c r="D11" i="4"/>
  <c r="I1" i="5" l="1"/>
  <c r="J1" i="5" l="1"/>
  <c r="K1" i="5" l="1"/>
  <c r="L3" i="4" l="1"/>
  <c r="D13" i="4" l="1"/>
</calcChain>
</file>

<file path=xl/sharedStrings.xml><?xml version="1.0" encoding="utf-8"?>
<sst xmlns="http://schemas.openxmlformats.org/spreadsheetml/2006/main" count="45" uniqueCount="24">
  <si>
    <t>CheckIn</t>
  </si>
  <si>
    <t>Mobile</t>
  </si>
  <si>
    <t>Designatoin</t>
  </si>
  <si>
    <t xml:space="preserve"> Name</t>
  </si>
  <si>
    <t>S.No.</t>
  </si>
  <si>
    <t xml:space="preserve">Name </t>
  </si>
  <si>
    <t>Designation</t>
  </si>
  <si>
    <t>Hospital</t>
  </si>
  <si>
    <t xml:space="preserve">   IdNo</t>
  </si>
  <si>
    <t>ID No.</t>
  </si>
  <si>
    <t xml:space="preserve">                TOTAL CHECK OUT</t>
  </si>
  <si>
    <t>Check Out</t>
  </si>
  <si>
    <t xml:space="preserve">  TOTAL  CHECK IN</t>
  </si>
  <si>
    <t xml:space="preserve">  TOTAL PERSON </t>
  </si>
  <si>
    <t xml:space="preserve">       In Hotel</t>
  </si>
  <si>
    <t>Check In Date</t>
  </si>
  <si>
    <t>Check Out Date</t>
  </si>
  <si>
    <t>Check In</t>
  </si>
  <si>
    <t xml:space="preserve">    Person In Hotel</t>
  </si>
  <si>
    <t xml:space="preserve">               Total </t>
  </si>
  <si>
    <t xml:space="preserve">     Total</t>
  </si>
  <si>
    <t xml:space="preserve">   Total </t>
  </si>
  <si>
    <t>Hotel SunShine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</si>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</sst>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u/>
      <sz val="36"/>
      <color theme="1"/>
      <name val="Calibri"/>
      <family val="2"/>
      <scheme val="minor"/>
    </font>
    <font>
      <sz val="11"/>
      <color rgb="FFC00000"/>
      <name val="Calibri"/>
      <family val="2"/>
    </font>
    <font>
      <sz val="14"/>
      <color rgb="FFFF0000"/>
      <name val="Calibri"/>
      <family val="2"/>
    </font>
    <font>
      <b/>
      <sz val="16"/>
      <color rgb="FF00B050"/>
      <name val="Calibri"/>
      <family val="2"/>
    </font>
    <font>
      <sz val="11"/>
      <color rgb="FFFF0000"/>
      <name val="Calibri"/>
      <family val="2"/>
    </font>
    <font>
      <sz val="11"/>
      <color rgb="FF006100"/>
      <name val="Calibri"/>
      <family val="2"/>
    </font>
    <font>
      <sz val="18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  <bgColor rgb="FFC6EFCE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14" fontId="3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7" fillId="2" borderId="0" xfId="0" applyFont="1" applyFill="1" applyBorder="1" applyAlignment="1"/>
    <xf numFmtId="0" fontId="0" fillId="3" borderId="0" xfId="0" applyFill="1"/>
    <xf numFmtId="0" fontId="2" fillId="3" borderId="0" xfId="0" applyFont="1" applyFill="1"/>
    <xf numFmtId="0" fontId="1" fillId="3" borderId="0" xfId="0" applyFont="1" applyFill="1"/>
    <xf numFmtId="14" fontId="8" fillId="3" borderId="0" xfId="0" applyNumberFormat="1" applyFont="1" applyFill="1"/>
    <xf numFmtId="0" fontId="0" fillId="4" borderId="0" xfId="0" applyFill="1"/>
    <xf numFmtId="0" fontId="9" fillId="3" borderId="0" xfId="0" applyFont="1" applyFill="1"/>
    <xf numFmtId="0" fontId="10" fillId="3" borderId="0" xfId="0" applyFont="1" applyFill="1"/>
    <xf numFmtId="0" fontId="0" fillId="0" borderId="0" xfId="0" applyFill="1" applyBorder="1"/>
    <xf numFmtId="0" fontId="9" fillId="0" borderId="0" xfId="0" applyFont="1" applyBorder="1"/>
    <xf numFmtId="0" fontId="11" fillId="0" borderId="0" xfId="0" applyFont="1" applyBorder="1"/>
    <xf numFmtId="0" fontId="0" fillId="3" borderId="0" xfId="0" applyFont="1" applyFill="1"/>
    <xf numFmtId="0" fontId="0" fillId="4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2.emf"/><Relationship Id="rId6" Type="http://schemas.openxmlformats.org/officeDocument/2006/relationships/image" Target="../media/image3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6</xdr:row>
          <xdr:rowOff>104775</xdr:rowOff>
        </xdr:from>
        <xdr:to>
          <xdr:col>7</xdr:col>
          <xdr:colOff>152400</xdr:colOff>
          <xdr:row>6</xdr:row>
          <xdr:rowOff>323850</xdr:rowOff>
        </xdr:to>
        <xdr:sp macro="" textlink="">
          <xdr:nvSpPr>
            <xdr:cNvPr id="3073" name="txtNam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7</xdr:row>
          <xdr:rowOff>76200</xdr:rowOff>
        </xdr:from>
        <xdr:to>
          <xdr:col>7</xdr:col>
          <xdr:colOff>161925</xdr:colOff>
          <xdr:row>7</xdr:row>
          <xdr:rowOff>304800</xdr:rowOff>
        </xdr:to>
        <xdr:sp macro="" textlink="">
          <xdr:nvSpPr>
            <xdr:cNvPr id="3074" name="txtDesign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6</xdr:row>
          <xdr:rowOff>85725</xdr:rowOff>
        </xdr:from>
        <xdr:to>
          <xdr:col>12</xdr:col>
          <xdr:colOff>0</xdr:colOff>
          <xdr:row>6</xdr:row>
          <xdr:rowOff>314325</xdr:rowOff>
        </xdr:to>
        <xdr:sp macro="" textlink="">
          <xdr:nvSpPr>
            <xdr:cNvPr id="3076" name="txtMobil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7</xdr:row>
          <xdr:rowOff>114300</xdr:rowOff>
        </xdr:from>
        <xdr:to>
          <xdr:col>12</xdr:col>
          <xdr:colOff>0</xdr:colOff>
          <xdr:row>7</xdr:row>
          <xdr:rowOff>323850</xdr:rowOff>
        </xdr:to>
        <xdr:sp macro="" textlink="">
          <xdr:nvSpPr>
            <xdr:cNvPr id="3077" name="txtCheckIn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152400</xdr:rowOff>
        </xdr:from>
        <xdr:to>
          <xdr:col>10</xdr:col>
          <xdr:colOff>466725</xdr:colOff>
          <xdr:row>11</xdr:row>
          <xdr:rowOff>123825</xdr:rowOff>
        </xdr:to>
        <xdr:sp macro="" textlink="">
          <xdr:nvSpPr>
            <xdr:cNvPr id="3079" name="cmdSav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581025</xdr:colOff>
          <xdr:row>9</xdr:row>
          <xdr:rowOff>142875</xdr:rowOff>
        </xdr:from>
        <xdr:to>
          <xdr:col>12</xdr:col>
          <xdr:colOff>133350</xdr:colOff>
          <xdr:row>11</xdr:row>
          <xdr:rowOff>114300</xdr:rowOff>
        </xdr:to>
        <xdr:sp macro="" textlink="">
          <xdr:nvSpPr>
            <xdr:cNvPr id="3081" name="cmdRese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8</xdr:row>
          <xdr:rowOff>85725</xdr:rowOff>
        </xdr:from>
        <xdr:to>
          <xdr:col>7</xdr:col>
          <xdr:colOff>161925</xdr:colOff>
          <xdr:row>8</xdr:row>
          <xdr:rowOff>333375</xdr:rowOff>
        </xdr:to>
        <xdr:sp macro="" textlink="">
          <xdr:nvSpPr>
            <xdr:cNvPr id="3083" name="txtIdN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485775</xdr:colOff>
          <xdr:row>8</xdr:row>
          <xdr:rowOff>85725</xdr:rowOff>
        </xdr:from>
        <xdr:to>
          <xdr:col>11</xdr:col>
          <xdr:colOff>904875</xdr:colOff>
          <xdr:row>8</xdr:row>
          <xdr:rowOff>304800</xdr:rowOff>
        </xdr:to>
        <xdr:sp macro="" textlink="">
          <xdr:nvSpPr>
            <xdr:cNvPr id="3084" name="txtHospital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180975</xdr:rowOff>
    </xdr:from>
    <xdr:to>
      <xdr:col>12</xdr:col>
      <xdr:colOff>581025</xdr:colOff>
      <xdr:row>14</xdr:row>
      <xdr:rowOff>38100</xdr:rowOff>
    </xdr:to>
    <xdr:sp macro="" textlink="">
      <xdr:nvSpPr>
        <xdr:cNvPr id="3" name="Rectangle 2"/>
        <xdr:cNvSpPr/>
      </xdr:nvSpPr>
      <xdr:spPr>
        <a:xfrm>
          <a:off x="609600" y="371475"/>
          <a:ext cx="7591425" cy="3248025"/>
        </a:xfrm>
        <a:prstGeom prst="rect">
          <a:avLst/>
        </a:prstGeom>
        <a:noFill/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14</xdr:row>
          <xdr:rowOff>76200</xdr:rowOff>
        </xdr:from>
        <xdr:to>
          <xdr:col>13</xdr:col>
          <xdr:colOff>9525</xdr:colOff>
          <xdr:row>21</xdr:row>
          <xdr:rowOff>76200</xdr:rowOff>
        </xdr:to>
        <xdr:sp macro="" textlink="">
          <xdr:nvSpPr>
            <xdr:cNvPr id="3085" name="ListBox1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4</xdr:row>
          <xdr:rowOff>180975</xdr:rowOff>
        </xdr:from>
        <xdr:to>
          <xdr:col>9</xdr:col>
          <xdr:colOff>676275</xdr:colOff>
          <xdr:row>6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180975</xdr:rowOff>
        </xdr:from>
        <xdr:to>
          <xdr:col>10</xdr:col>
          <xdr:colOff>676275</xdr:colOff>
          <xdr:row>6</xdr:row>
          <xdr:rowOff>171450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6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Y15"/>
  <sheetViews>
    <sheetView tabSelected="1" topLeftCell="I1" workbookViewId="0">
      <selection activeCell="Q9" sqref="Q9"/>
    </sheetView>
  </sheetViews>
  <sheetFormatPr defaultRowHeight="15" x14ac:dyDescent="0.25"/>
  <cols>
    <col min="12" max="12" width="13.7109375" bestFit="1" customWidth="1"/>
  </cols>
  <sheetData>
    <row r="1" spans="2:25" ht="15.75" x14ac:dyDescent="0.25">
      <c r="O1" s="7" t="s">
        <v>4</v>
      </c>
      <c r="P1" s="7" t="s">
        <v>5</v>
      </c>
      <c r="Q1" s="7" t="s">
        <v>6</v>
      </c>
      <c r="R1" s="7" t="s">
        <v>9</v>
      </c>
      <c r="S1" s="7" t="s">
        <v>1</v>
      </c>
      <c r="T1" s="7" t="s">
        <v>15</v>
      </c>
      <c r="U1" s="7" t="s">
        <v>7</v>
      </c>
      <c r="V1" s="7" t="s">
        <v>16</v>
      </c>
      <c r="W1" s="16">
        <f>COUNTA(T2:T1000000)</f>
        <v>1</v>
      </c>
      <c r="X1" s="16">
        <f>COUNTA(V2:V1000000)</f>
        <v>0</v>
      </c>
      <c r="Y1" s="16">
        <f>(W1 - X1)</f>
        <v>1</v>
      </c>
    </row>
    <row r="2" spans="2:25" ht="16.5" customHeight="1" x14ac:dyDescent="0.25">
      <c r="O2">
        <v>1</v>
      </c>
      <c r="P2" t="s">
        <v>23</v>
      </c>
      <c r="Q2" t="s">
        <v>23</v>
      </c>
      <c r="R2" s="1" t="s">
        <v>23</v>
      </c>
      <c r="S2" s="1" t="s">
        <v>23</v>
      </c>
      <c r="T2" t="s">
        <v>23</v>
      </c>
      <c r="U2" s="1" t="s">
        <v>23</v>
      </c>
      <c r="V2" s="15"/>
      <c r="W2" s="17" t="s">
        <v>21</v>
      </c>
      <c r="X2" s="17" t="s">
        <v>20</v>
      </c>
      <c r="Y2" s="17" t="s">
        <v>19</v>
      </c>
    </row>
    <row r="3" spans="2:25" ht="43.5" customHeight="1" x14ac:dyDescent="0.7">
      <c r="B3" s="8"/>
      <c r="C3" s="8"/>
      <c r="D3" s="8"/>
      <c r="E3" s="8"/>
      <c r="F3" s="9" t="s">
        <v>22</v>
      </c>
      <c r="G3" s="18"/>
      <c r="H3" s="18"/>
      <c r="I3" s="18"/>
      <c r="J3" s="18"/>
      <c r="K3" s="8"/>
      <c r="L3" s="11">
        <f ca="1">TODAY()</f>
        <v>44346</v>
      </c>
      <c r="M3" s="8"/>
      <c r="O3" s="1"/>
      <c r="P3" s="1"/>
      <c r="Q3" s="1"/>
      <c r="R3" s="1"/>
      <c r="S3" s="1"/>
      <c r="T3" s="1"/>
      <c r="U3" s="1"/>
      <c r="V3" s="15"/>
      <c r="W3" s="17" t="s">
        <v>17</v>
      </c>
      <c r="X3" s="17" t="s">
        <v>11</v>
      </c>
      <c r="Y3" s="17" t="s">
        <v>18</v>
      </c>
    </row>
    <row r="4" spans="2:25" x14ac:dyDescent="0.2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19"/>
    </row>
    <row r="5" spans="2:25" x14ac:dyDescent="0.25"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19"/>
    </row>
    <row r="6" spans="2:25" x14ac:dyDescent="0.25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19"/>
    </row>
    <row r="7" spans="2:25" ht="28.5" x14ac:dyDescent="0.45">
      <c r="B7" s="8"/>
      <c r="C7" s="8"/>
      <c r="D7" s="10" t="s">
        <v>3</v>
      </c>
      <c r="E7" s="8"/>
      <c r="F7" s="8"/>
      <c r="G7" s="8"/>
      <c r="H7" s="8"/>
      <c r="I7" s="10" t="s">
        <v>1</v>
      </c>
      <c r="J7" s="8"/>
      <c r="K7" s="8"/>
      <c r="L7" s="8"/>
      <c r="M7" s="8"/>
      <c r="N7" s="19"/>
    </row>
    <row r="8" spans="2:25" ht="28.5" x14ac:dyDescent="0.45">
      <c r="B8" s="8"/>
      <c r="C8" s="10" t="s">
        <v>2</v>
      </c>
      <c r="D8" s="8"/>
      <c r="E8" s="8"/>
      <c r="F8" s="8"/>
      <c r="G8" s="8"/>
      <c r="H8" s="8"/>
      <c r="I8" s="10" t="s">
        <v>0</v>
      </c>
      <c r="J8" s="8"/>
      <c r="K8" s="8"/>
      <c r="L8" s="8"/>
      <c r="M8" s="8"/>
      <c r="N8" s="19"/>
    </row>
    <row r="9" spans="2:25" ht="28.5" x14ac:dyDescent="0.45">
      <c r="B9" s="8"/>
      <c r="C9" s="8"/>
      <c r="D9" s="10" t="s">
        <v>8</v>
      </c>
      <c r="E9" s="8"/>
      <c r="F9" s="8"/>
      <c r="G9" s="8"/>
      <c r="H9" s="8"/>
      <c r="I9" s="10" t="s">
        <v>7</v>
      </c>
      <c r="J9" s="8"/>
      <c r="K9" s="8"/>
      <c r="L9" s="8"/>
      <c r="M9" s="8"/>
      <c r="N9" s="19"/>
    </row>
    <row r="10" spans="2:25" x14ac:dyDescent="0.25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19"/>
    </row>
    <row r="11" spans="2:25" ht="15.75" x14ac:dyDescent="0.25">
      <c r="B11" s="13" t="s">
        <v>12</v>
      </c>
      <c r="C11" s="13"/>
      <c r="D11" s="14">
        <f>COUNTA(DataBase!E2:'DataBase'!E1005)</f>
        <v>0</v>
      </c>
      <c r="E11" s="13" t="s">
        <v>10</v>
      </c>
      <c r="F11" s="13"/>
      <c r="G11" s="13"/>
      <c r="H11" s="14">
        <f>COUNTA(DataBase!H2:'DataBase'!H1005)</f>
        <v>0</v>
      </c>
      <c r="I11" s="8"/>
      <c r="J11" s="8"/>
      <c r="K11" s="8"/>
      <c r="L11" s="8"/>
      <c r="M11" s="8"/>
      <c r="N11" s="19"/>
    </row>
    <row r="12" spans="2:25" ht="15.75" x14ac:dyDescent="0.25">
      <c r="B12" s="14"/>
      <c r="C12" s="14"/>
      <c r="D12" s="14"/>
      <c r="E12" s="8"/>
      <c r="F12" s="8"/>
      <c r="G12" s="8"/>
      <c r="H12" s="8"/>
      <c r="I12" s="8"/>
      <c r="J12" s="8"/>
      <c r="K12" s="8"/>
      <c r="L12" s="8"/>
      <c r="M12" s="8"/>
      <c r="N12" s="19"/>
    </row>
    <row r="13" spans="2:25" ht="15.75" x14ac:dyDescent="0.25">
      <c r="B13" s="13" t="s">
        <v>13</v>
      </c>
      <c r="C13" s="13"/>
      <c r="D13" s="14">
        <f>(DataBase!I1-DataBase!J1)</f>
        <v>0</v>
      </c>
      <c r="E13" s="8"/>
      <c r="F13" s="8"/>
      <c r="G13" s="8"/>
      <c r="H13" s="8"/>
      <c r="I13" s="8"/>
      <c r="J13" s="8"/>
      <c r="K13" s="8"/>
      <c r="L13" s="8"/>
      <c r="M13" s="8"/>
      <c r="N13" s="19"/>
    </row>
    <row r="14" spans="2:25" ht="15.75" x14ac:dyDescent="0.25">
      <c r="B14" s="13" t="s">
        <v>14</v>
      </c>
      <c r="C14" s="13"/>
      <c r="D14" s="14"/>
      <c r="E14" s="8"/>
      <c r="F14" s="8"/>
      <c r="G14" s="8"/>
      <c r="H14" s="8"/>
      <c r="I14" s="8"/>
      <c r="J14" s="8"/>
      <c r="K14" s="8"/>
      <c r="L14" s="8"/>
      <c r="M14" s="8"/>
      <c r="N14" s="12"/>
    </row>
    <row r="15" spans="2:25" ht="21" x14ac:dyDescent="0.25">
      <c r="C15" s="2"/>
      <c r="D15" s="3"/>
      <c r="E15" s="4"/>
      <c r="F15" s="5"/>
      <c r="G15" s="5"/>
      <c r="H15" s="5"/>
      <c r="I15" s="5"/>
      <c r="J15" s="6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85" r:id="rId4" name="ListBox1">
          <controlPr defaultSize="0" autoLine="0" listFillRange="O:V" r:id="rId5">
            <anchor moveWithCells="1">
              <from>
                <xdr:col>0</xdr:col>
                <xdr:colOff>600075</xdr:colOff>
                <xdr:row>14</xdr:row>
                <xdr:rowOff>76200</xdr:rowOff>
              </from>
              <to>
                <xdr:col>13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3085" r:id="rId4" name="ListBox1"/>
      </mc:Fallback>
    </mc:AlternateContent>
    <mc:AlternateContent xmlns:mc="http://schemas.openxmlformats.org/markup-compatibility/2006">
      <mc:Choice Requires="x14">
        <control shapeId="3084" r:id="rId6" name="txtHospital">
          <controlPr defaultSize="0" autoLine="0" r:id="rId7">
            <anchor moveWithCells="1">
              <from>
                <xdr:col>9</xdr:col>
                <xdr:colOff>485775</xdr:colOff>
                <xdr:row>8</xdr:row>
                <xdr:rowOff>85725</xdr:rowOff>
              </from>
              <to>
                <xdr:col>11</xdr:col>
                <xdr:colOff>904875</xdr:colOff>
                <xdr:row>8</xdr:row>
                <xdr:rowOff>304800</xdr:rowOff>
              </to>
            </anchor>
          </controlPr>
        </control>
      </mc:Choice>
      <mc:Fallback>
        <control shapeId="3084" r:id="rId6" name="txtHospital"/>
      </mc:Fallback>
    </mc:AlternateContent>
    <mc:AlternateContent xmlns:mc="http://schemas.openxmlformats.org/markup-compatibility/2006">
      <mc:Choice Requires="x14">
        <control shapeId="3083" r:id="rId8" name="txtIdNo">
          <controlPr defaultSize="0" autoLine="0" autoPict="0" r:id="rId9">
            <anchor moveWithCells="1">
              <from>
                <xdr:col>4</xdr:col>
                <xdr:colOff>352425</xdr:colOff>
                <xdr:row>8</xdr:row>
                <xdr:rowOff>85725</xdr:rowOff>
              </from>
              <to>
                <xdr:col>7</xdr:col>
                <xdr:colOff>161925</xdr:colOff>
                <xdr:row>8</xdr:row>
                <xdr:rowOff>333375</xdr:rowOff>
              </to>
            </anchor>
          </controlPr>
        </control>
      </mc:Choice>
      <mc:Fallback>
        <control shapeId="3083" r:id="rId8" name="txtIdNo"/>
      </mc:Fallback>
    </mc:AlternateContent>
    <mc:AlternateContent xmlns:mc="http://schemas.openxmlformats.org/markup-compatibility/2006">
      <mc:Choice Requires="x14">
        <control shapeId="3077" r:id="rId10" name="txtCheckIn">
          <controlPr defaultSize="0" autoLine="0" r:id="rId11">
            <anchor moveWithCells="1">
              <from>
                <xdr:col>9</xdr:col>
                <xdr:colOff>495300</xdr:colOff>
                <xdr:row>7</xdr:row>
                <xdr:rowOff>114300</xdr:rowOff>
              </from>
              <to>
                <xdr:col>12</xdr:col>
                <xdr:colOff>0</xdr:colOff>
                <xdr:row>7</xdr:row>
                <xdr:rowOff>323850</xdr:rowOff>
              </to>
            </anchor>
          </controlPr>
        </control>
      </mc:Choice>
      <mc:Fallback>
        <control shapeId="3077" r:id="rId10" name="txtCheckIn"/>
      </mc:Fallback>
    </mc:AlternateContent>
    <mc:AlternateContent xmlns:mc="http://schemas.openxmlformats.org/markup-compatibility/2006">
      <mc:Choice Requires="x14">
        <control shapeId="3076" r:id="rId12" name="txtMobile">
          <controlPr defaultSize="0" autoLine="0" autoPict="0" r:id="rId13">
            <anchor moveWithCells="1">
              <from>
                <xdr:col>9</xdr:col>
                <xdr:colOff>495300</xdr:colOff>
                <xdr:row>6</xdr:row>
                <xdr:rowOff>85725</xdr:rowOff>
              </from>
              <to>
                <xdr:col>12</xdr:col>
                <xdr:colOff>0</xdr:colOff>
                <xdr:row>6</xdr:row>
                <xdr:rowOff>314325</xdr:rowOff>
              </to>
            </anchor>
          </controlPr>
        </control>
      </mc:Choice>
      <mc:Fallback>
        <control shapeId="3076" r:id="rId12" name="txtMobile"/>
      </mc:Fallback>
    </mc:AlternateContent>
    <mc:AlternateContent xmlns:mc="http://schemas.openxmlformats.org/markup-compatibility/2006">
      <mc:Choice Requires="x14">
        <control shapeId="3074" r:id="rId14" name="txtDesignation">
          <controlPr defaultSize="0" autoLine="0" autoPict="0" r:id="rId13">
            <anchor moveWithCells="1">
              <from>
                <xdr:col>4</xdr:col>
                <xdr:colOff>352425</xdr:colOff>
                <xdr:row>7</xdr:row>
                <xdr:rowOff>76200</xdr:rowOff>
              </from>
              <to>
                <xdr:col>7</xdr:col>
                <xdr:colOff>161925</xdr:colOff>
                <xdr:row>7</xdr:row>
                <xdr:rowOff>304800</xdr:rowOff>
              </to>
            </anchor>
          </controlPr>
        </control>
      </mc:Choice>
      <mc:Fallback>
        <control shapeId="3074" r:id="rId14" name="txtDesignation"/>
      </mc:Fallback>
    </mc:AlternateContent>
    <mc:AlternateContent xmlns:mc="http://schemas.openxmlformats.org/markup-compatibility/2006">
      <mc:Choice Requires="x14">
        <control shapeId="3073" r:id="rId15" name="txtName">
          <controlPr defaultSize="0" autoLine="0" autoPict="0" r:id="rId7">
            <anchor moveWithCells="1">
              <from>
                <xdr:col>4</xdr:col>
                <xdr:colOff>342900</xdr:colOff>
                <xdr:row>6</xdr:row>
                <xdr:rowOff>104775</xdr:rowOff>
              </from>
              <to>
                <xdr:col>7</xdr:col>
                <xdr:colOff>152400</xdr:colOff>
                <xdr:row>6</xdr:row>
                <xdr:rowOff>323850</xdr:rowOff>
              </to>
            </anchor>
          </controlPr>
        </control>
      </mc:Choice>
      <mc:Fallback>
        <control shapeId="3073" r:id="rId15" name="txtName"/>
      </mc:Fallback>
    </mc:AlternateContent>
    <mc:AlternateContent xmlns:mc="http://schemas.openxmlformats.org/markup-compatibility/2006">
      <mc:Choice Requires="x14">
        <control shapeId="3079" r:id="rId16" name="cmdSave">
          <controlPr defaultSize="0" autoLine="0" autoPict="0" r:id="rId17">
            <anchor moveWithCells="1">
              <from>
                <xdr:col>9</xdr:col>
                <xdr:colOff>0</xdr:colOff>
                <xdr:row>9</xdr:row>
                <xdr:rowOff>152400</xdr:rowOff>
              </from>
              <to>
                <xdr:col>10</xdr:col>
                <xdr:colOff>466725</xdr:colOff>
                <xdr:row>11</xdr:row>
                <xdr:rowOff>123825</xdr:rowOff>
              </to>
            </anchor>
          </controlPr>
        </control>
      </mc:Choice>
      <mc:Fallback>
        <control shapeId="3079" r:id="rId16" name="cmdSave"/>
      </mc:Fallback>
    </mc:AlternateContent>
    <mc:AlternateContent xmlns:mc="http://schemas.openxmlformats.org/markup-compatibility/2006">
      <mc:Choice Requires="x14">
        <control shapeId="3081" r:id="rId18" name="cmdReset">
          <controlPr defaultSize="0" autoLine="0" r:id="rId19">
            <anchor moveWithCells="1">
              <from>
                <xdr:col>10</xdr:col>
                <xdr:colOff>581025</xdr:colOff>
                <xdr:row>9</xdr:row>
                <xdr:rowOff>142875</xdr:rowOff>
              </from>
              <to>
                <xdr:col>12</xdr:col>
                <xdr:colOff>133350</xdr:colOff>
                <xdr:row>11</xdr:row>
                <xdr:rowOff>114300</xdr:rowOff>
              </to>
            </anchor>
          </controlPr>
        </control>
      </mc:Choice>
      <mc:Fallback>
        <control shapeId="3081" r:id="rId18" name="cmdRe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01"/>
  <sheetViews>
    <sheetView zoomScaleNormal="100" workbookViewId="0">
      <selection activeCell="B28" sqref="B28"/>
    </sheetView>
  </sheetViews>
  <sheetFormatPr defaultRowHeight="15" x14ac:dyDescent="0.25"/>
  <cols>
    <col min="1" max="1" width="9.85546875" customWidth="1"/>
    <col min="2" max="2" width="17.85546875" customWidth="1"/>
    <col min="3" max="3" width="15.28515625" customWidth="1"/>
    <col min="5" max="5" width="10.42578125" customWidth="1"/>
    <col min="6" max="6" width="8.42578125" customWidth="1"/>
    <col min="8" max="8" width="16.7109375" customWidth="1"/>
    <col min="10" max="10" width="10.42578125" customWidth="1"/>
    <col min="11" max="11" width="18.42578125" customWidth="1"/>
  </cols>
  <sheetData>
    <row r="1" spans="1:26" ht="18.75" customHeight="1" x14ac:dyDescent="0.25">
      <c r="A1" s="7" t="s">
        <v>4</v>
      </c>
      <c r="B1" s="7" t="s">
        <v>5</v>
      </c>
      <c r="C1" s="7" t="s">
        <v>6</v>
      </c>
      <c r="D1" s="7" t="s">
        <v>9</v>
      </c>
      <c r="E1" s="7" t="s">
        <v>1</v>
      </c>
      <c r="F1" s="7" t="s">
        <v>15</v>
      </c>
      <c r="G1" s="7" t="s">
        <v>7</v>
      </c>
      <c r="H1" s="7" t="s">
        <v>16</v>
      </c>
      <c r="I1" s="16">
        <f>COUNTA(B2:B9994)</f>
        <v>0</v>
      </c>
      <c r="J1" s="16">
        <f>COUNTA(H2:H9992)</f>
        <v>0</v>
      </c>
      <c r="K1" s="16">
        <f>(I1 - J1)</f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x14ac:dyDescent="0.25">
      <c r="D2" s="1"/>
      <c r="E2" s="1"/>
      <c r="G2" s="1"/>
      <c r="H2" s="15"/>
      <c r="I2" s="17" t="s">
        <v>21</v>
      </c>
      <c r="J2" s="17" t="s">
        <v>20</v>
      </c>
      <c r="K2" s="17" t="s">
        <v>19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.75" x14ac:dyDescent="0.25">
      <c r="A3" s="1"/>
      <c r="B3" s="1"/>
      <c r="C3" s="1"/>
      <c r="D3" s="1"/>
      <c r="E3" s="1"/>
      <c r="F3" s="1"/>
      <c r="G3" s="1"/>
      <c r="H3" s="15"/>
      <c r="I3" s="17" t="s">
        <v>17</v>
      </c>
      <c r="J3" s="17" t="s">
        <v>11</v>
      </c>
      <c r="K3" s="17" t="s">
        <v>18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5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5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5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5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5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5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1"/>
      <c r="C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1"/>
      <c r="B85" s="1"/>
      <c r="C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1"/>
      <c r="C86" s="1"/>
      <c r="F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1"/>
      <c r="B87" s="1"/>
      <c r="C87" s="1"/>
      <c r="F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5">
      <c r="A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25">
      <c r="A95" s="1"/>
    </row>
    <row r="96" spans="1:26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381000</xdr:colOff>
                    <xdr:row>4</xdr:row>
                    <xdr:rowOff>180975</xdr:rowOff>
                  </from>
                  <to>
                    <xdr:col>9</xdr:col>
                    <xdr:colOff>676275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Button10_Click">
                <anchor moveWithCells="1" sizeWithCells="1">
                  <from>
                    <xdr:col>10</xdr:col>
                    <xdr:colOff>0</xdr:colOff>
                    <xdr:row>4</xdr:row>
                    <xdr:rowOff>180975</xdr:rowOff>
                  </from>
                  <to>
                    <xdr:col>10</xdr:col>
                    <xdr:colOff>676275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</vt:lpstr>
      <vt:lpstr>DataBase</vt:lpstr>
      <vt:lpstr>DataBase!Total_Person_IN_Hotel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2021-05-29T08:17:48Z</cp:lastPrinted>
  <dcterms:created xsi:type="dcterms:W3CDTF">2021-05-26T10:12:39Z</dcterms:created>
  <dcterms:modified xsi:type="dcterms:W3CDTF">2021-05-30T06:35:37Z</dcterms:modified>
</cp:coreProperties>
</file>